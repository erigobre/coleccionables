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Costo por acción" sheetId="2" state="visible" r:id="rId4"/>
    <sheet name="Paquetes" sheetId="3" state="visible" r:id="rId5"/>
    <sheet name="Proyección mensu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<sst xmlns="http://schemas.openxmlformats.org/spreadsheetml/2006/main" count="108" uniqueCount="92">
  <si>
    <t xml:space="preserve">FRIKIDEX · Supuestos del modelo de FrikiTokens</t>
  </si>
  <si>
    <t xml:space="preserve">Edita solo las celdas en azul (las amarillas son las más importantes). Todo lo demás se calcula solo.</t>
  </si>
  <si>
    <t xml:space="preserve">General</t>
  </si>
  <si>
    <t xml:space="preserve">Tipo de cambio (MXN por USD)</t>
  </si>
  <si>
    <t xml:space="preserve">Referencia aproximada; actualízalo al tipo de cambio del día.</t>
  </si>
  <si>
    <t xml:space="preserve">Comisión de la tienda (Apple/Google)</t>
  </si>
  <si>
    <t xml:space="preserve">15% con programa de pequeños desarrolladores; 30% si no aplica. Se calcula sobre el precio sin IVA.</t>
  </si>
  <si>
    <t xml:space="preserve">IVA</t>
  </si>
  <si>
    <t xml:space="preserve">El precio de venta al público se asume con IVA incluido.</t>
  </si>
  <si>
    <t xml:space="preserve">Precios de Gemini (USD por millón de tokens, tarifa 2027)</t>
  </si>
  <si>
    <t xml:space="preserve">Gemini 3.8 Flash · entrada</t>
  </si>
  <si>
    <t xml:space="preserve">ai.google.dev/gemini-api/docs/pricing — $0.75 hasta el 31-dic-2026, $1.50 desde el 1-ene-2027.</t>
  </si>
  <si>
    <t xml:space="preserve">Gemini 3.8 Flash · salida (incluye razonamiento)</t>
  </si>
  <si>
    <t xml:space="preserve">Misma fuente — $3.75 hasta el 31-dic-2026, $7.50 desde el 1-ene-2027.</t>
  </si>
  <si>
    <t xml:space="preserve">Gemini 3.5 Flash-Lite · entrada</t>
  </si>
  <si>
    <t xml:space="preserve">Misma fuente.</t>
  </si>
  <si>
    <t xml:space="preserve">Gemini 3.5 Flash-Lite · salida</t>
  </si>
  <si>
    <t xml:space="preserve">Búsqueda web (grounding), USD por búsqueda</t>
  </si>
  <si>
    <t xml:space="preserve">Misma fuente — $14 por 1,000 búsquedas tras 5,000 gratis al mes (el modelo NO descuenta las gratis: escenario conservador).</t>
  </si>
  <si>
    <t xml:space="preserve">Búsquedas de Google por consulta de precio</t>
  </si>
  <si>
    <t xml:space="preserve">Supuesto: una consulta puede disparar varias búsquedas y cada una se cobra.</t>
  </si>
  <si>
    <t xml:space="preserve">Tokens estimados por acción</t>
  </si>
  <si>
    <t xml:space="preserve">Escaneo "¿Ya lo tengo?" · tokens de entrada</t>
  </si>
  <si>
    <t xml:space="preserve">Foto (~1,100) + instrucciones. Supuesto a validar con pruebas reales.</t>
  </si>
  <si>
    <t xml:space="preserve">Escaneo "¿Ya lo tengo?" · tokens de salida</t>
  </si>
  <si>
    <t xml:space="preserve">Respuesta corta, sin razonamiento extendido.</t>
  </si>
  <si>
    <t xml:space="preserve">Análisis completo · tokens de entrada</t>
  </si>
  <si>
    <t xml:space="preserve">Supuesto.</t>
  </si>
  <si>
    <t xml:space="preserve">Análisis completo · tokens de salida</t>
  </si>
  <si>
    <t xml:space="preserve">Ficha JSON + razonamiento en nivel bajo. Supuesto.</t>
  </si>
  <si>
    <t xml:space="preserve">Precio de mercado · tokens de entrada</t>
  </si>
  <si>
    <t xml:space="preserve">Sin foto, solo datos del objeto. Supuesto.</t>
  </si>
  <si>
    <t xml:space="preserve">Precio de mercado · tokens de salida</t>
  </si>
  <si>
    <t xml:space="preserve">FrikiTokens que cobra cada acción</t>
  </si>
  <si>
    <t xml:space="preserve">Escaneo "¿Ya lo tengo?"</t>
  </si>
  <si>
    <t xml:space="preserve">Propuesta.</t>
  </si>
  <si>
    <t xml:space="preserve">Análisis completo (alta con IA)</t>
  </si>
  <si>
    <t xml:space="preserve">Actualización / re-análisis</t>
  </si>
  <si>
    <t xml:space="preserve">Precio de mercado</t>
  </si>
  <si>
    <t xml:space="preserve">Mezcla de uso (de cada 100 acciones con IA)</t>
  </si>
  <si>
    <t xml:space="preserve">Escaneos "¿Ya lo tengo?"</t>
  </si>
  <si>
    <t xml:space="preserve">Supuesto de comportamiento; ajústalo con datos reales.</t>
  </si>
  <si>
    <t xml:space="preserve">Análisis completos</t>
  </si>
  <si>
    <t xml:space="preserve">Actualizaciones</t>
  </si>
  <si>
    <t xml:space="preserve">Consultas de precio de mercado</t>
  </si>
  <si>
    <t xml:space="preserve">Costo real de cada acción con IA</t>
  </si>
  <si>
    <t xml:space="preserve">Acción</t>
  </si>
  <si>
    <t xml:space="preserve">Modelo</t>
  </si>
  <si>
    <t xml:space="preserve">Tokens entrada</t>
  </si>
  <si>
    <t xml:space="preserve">Tokens salida</t>
  </si>
  <si>
    <t xml:space="preserve">Costo IA (USD)</t>
  </si>
  <si>
    <t xml:space="preserve">Búsquedas web (USD)</t>
  </si>
  <si>
    <t xml:space="preserve">Costo total (USD)</t>
  </si>
  <si>
    <t xml:space="preserve">Costo total (MXN)</t>
  </si>
  <si>
    <t xml:space="preserve">FrikiTokens que cobra</t>
  </si>
  <si>
    <t xml:space="preserve">Costo real por FrikiToken (MXN)</t>
  </si>
  <si>
    <t xml:space="preserve">3.5 Flash-Lite</t>
  </si>
  <si>
    <t xml:space="preserve">3.8 Flash</t>
  </si>
  <si>
    <t xml:space="preserve">3.8 Flash + búsqueda</t>
  </si>
  <si>
    <t xml:space="preserve">Costo real promedio por FrikiToken (según la mezcla de uso)</t>
  </si>
  <si>
    <t xml:space="preserve">Es el número que usa la hoja "Paquetes" para calcular tu gasto. Cambia si modificas la mezcla de uso en Supuestos.</t>
  </si>
  <si>
    <t xml:space="preserve">Gasto vs venta vs ganancia por paquete de FrikiTokens</t>
  </si>
  <si>
    <t xml:space="preserve">Edita en azul el nombre, FrikiTokens y precio de cada paquete. Todo en MXN.</t>
  </si>
  <si>
    <t xml:space="preserve">Paquete</t>
  </si>
  <si>
    <t xml:space="preserve">FrikiTokens</t>
  </si>
  <si>
    <t xml:space="preserve">Precio al público (con IVA)</t>
  </si>
  <si>
    <t xml:space="preserve">Precio por FrikiToken</t>
  </si>
  <si>
    <t xml:space="preserve">Comisión tienda</t>
  </si>
  <si>
    <t xml:space="preserve">Ingreso neto para ti</t>
  </si>
  <si>
    <t xml:space="preserve">Gasto en IA (si se usan todos)</t>
  </si>
  <si>
    <t xml:space="preserve">Ganancia</t>
  </si>
  <si>
    <t xml:space="preserve">Margen sobre precio</t>
  </si>
  <si>
    <t xml:space="preserve">Cuántas veces cubre el gasto</t>
  </si>
  <si>
    <t xml:space="preserve">Básico</t>
  </si>
  <si>
    <t xml:space="preserve">Coleccionista</t>
  </si>
  <si>
    <t xml:space="preserve">Mega</t>
  </si>
  <si>
    <t xml:space="preserve">Notas</t>
  </si>
  <si>
    <t xml:space="preserve">• "Gasto en IA" asume que el usuario gasta todos sus FrikiTokens. Los que no se usan son ganancia extra.</t>
  </si>
  <si>
    <t xml:space="preserve">• No incluye servidores, almacenamiento de fotos ni las 5,000 búsquedas gratis al mes de Google (escenario conservador).</t>
  </si>
  <si>
    <t xml:space="preserve">• La comisión de tienda solo aplica si vendes dentro de la app; en la web (Stripe) cambia por la comisión de Stripe.</t>
  </si>
  <si>
    <t xml:space="preserve">Proyección mensual: gasto vs venta vs ganancia</t>
  </si>
  <si>
    <t xml:space="preserve">Edita en azul cuántos usuarios hay y cuántos paquetes vendes al mes.</t>
  </si>
  <si>
    <t xml:space="preserve">Usuarios gratuitos activos</t>
  </si>
  <si>
    <t xml:space="preserve">FrikiTokens de regalo por usuario al mes</t>
  </si>
  <si>
    <t xml:space="preserve">% de los tokens de regalo que realmente se usan</t>
  </si>
  <si>
    <t xml:space="preserve">Paquetes vendidos al mes</t>
  </si>
  <si>
    <t xml:space="preserve">Venta total (con IVA)</t>
  </si>
  <si>
    <t xml:space="preserve">Ingreso neto</t>
  </si>
  <si>
    <t xml:space="preserve">Gasto en IA</t>
  </si>
  <si>
    <t xml:space="preserve">Costo de los tokens de regalo</t>
  </si>
  <si>
    <t xml:space="preserve">TOTAL DEL MES</t>
  </si>
  <si>
    <t xml:space="preserve">Margen del mes sobre la venta total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</si>
</sst>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0.0%"/>
    <numFmt numFmtId="167" formatCode="\$0.00"/>
    <numFmt numFmtId="168" formatCode="\$0.000"/>
    <numFmt numFmtId="169" formatCode="#,##0"/>
    <numFmt numFmtId="170" formatCode="#,##0;\(#,##0\);\-"/>
    <numFmt numFmtId="171" formatCode="\$0.0000;&quot;($&quot;0.0000\);\-"/>
    <numFmt numFmtId="172" formatCode="\$#,##0.00;&quot;($&quot;#,##0.00\);\-"/>
    <numFmt numFmtId="173" formatCode="0.0%;\(0.0%\);\-"/>
    <numFmt numFmtId="174" formatCode="0.0\x"/>
    <numFmt numFmtId="17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122B"/>
      <name val="Arial"/>
      <family val="0"/>
      <charset val="1"/>
    </font>
    <font>
      <i val="true"/>
      <sz val="11"/>
      <color rgb="FF5B547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B54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5B547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E7DA"/>
        <bgColor rgb="FFD9D1C0"/>
      </patternFill>
    </fill>
    <fill>
      <patternFill patternType="solid">
        <fgColor rgb="FFFFFF00"/>
        <bgColor rgb="FFFFFF00"/>
      </patternFill>
    </fill>
    <fill>
      <patternFill patternType="solid">
        <fgColor rgb="FF16122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1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1C0"/>
      <rgbColor rgb="FF808080"/>
      <rgbColor rgb="FF9999FF"/>
      <rgbColor rgb="FF993366"/>
      <rgbColor rgb="FFEDE7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4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2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19</v>
      </c>
      <c r="C5" s="7" t="s">
        <v>4</v>
      </c>
    </row>
    <row r="6" customFormat="false" ht="15" hidden="false" customHeight="false" outlineLevel="0" collapsed="false">
      <c r="A6" s="5" t="s">
        <v>5</v>
      </c>
      <c r="B6" s="8" t="n">
        <v>0.15</v>
      </c>
      <c r="C6" s="7" t="s">
        <v>6</v>
      </c>
    </row>
    <row r="7" customFormat="false" ht="15" hidden="false" customHeight="false" outlineLevel="0" collapsed="false">
      <c r="A7" s="5" t="s">
        <v>7</v>
      </c>
      <c r="B7" s="9" t="n">
        <v>0.16</v>
      </c>
      <c r="C7" s="7" t="s">
        <v>8</v>
      </c>
    </row>
    <row r="8" customFormat="false" ht="15" hidden="false" customHeight="false" outlineLevel="0" collapsed="false">
      <c r="A8" s="3" t="s">
        <v>9</v>
      </c>
      <c r="B8" s="4"/>
      <c r="C8" s="4"/>
    </row>
    <row r="9" customFormat="false" ht="15" hidden="false" customHeight="false" outlineLevel="0" collapsed="false">
      <c r="A9" s="5" t="s">
        <v>10</v>
      </c>
      <c r="B9" s="10" t="n">
        <v>1.5</v>
      </c>
      <c r="C9" s="7" t="s">
        <v>11</v>
      </c>
    </row>
    <row r="10" customFormat="false" ht="15" hidden="false" customHeight="false" outlineLevel="0" collapsed="false">
      <c r="A10" s="5" t="s">
        <v>12</v>
      </c>
      <c r="B10" s="10" t="n">
        <v>7.5</v>
      </c>
      <c r="C10" s="7" t="s">
        <v>13</v>
      </c>
    </row>
    <row r="11" customFormat="false" ht="15" hidden="false" customHeight="false" outlineLevel="0" collapsed="false">
      <c r="A11" s="5" t="s">
        <v>14</v>
      </c>
      <c r="B11" s="11" t="n">
        <v>0.3</v>
      </c>
      <c r="C11" s="7" t="s">
        <v>15</v>
      </c>
    </row>
    <row r="12" customFormat="false" ht="15" hidden="false" customHeight="false" outlineLevel="0" collapsed="false">
      <c r="A12" s="5" t="s">
        <v>16</v>
      </c>
      <c r="B12" s="11" t="n">
        <v>2.5</v>
      </c>
      <c r="C12" s="7" t="s">
        <v>15</v>
      </c>
    </row>
    <row r="13" customFormat="false" ht="15" hidden="false" customHeight="false" outlineLevel="0" collapsed="false">
      <c r="A13" s="5" t="s">
        <v>17</v>
      </c>
      <c r="B13" s="12" t="n">
        <v>0.014</v>
      </c>
      <c r="C13" s="7" t="s">
        <v>18</v>
      </c>
    </row>
    <row r="14" customFormat="false" ht="15" hidden="false" customHeight="false" outlineLevel="0" collapsed="false">
      <c r="A14" s="5" t="s">
        <v>19</v>
      </c>
      <c r="B14" s="6" t="n">
        <v>2</v>
      </c>
      <c r="C14" s="7" t="s">
        <v>20</v>
      </c>
    </row>
    <row r="15" customFormat="false" ht="15" hidden="false" customHeight="false" outlineLevel="0" collapsed="false">
      <c r="A15" s="3" t="s">
        <v>21</v>
      </c>
      <c r="B15" s="4"/>
      <c r="C15" s="4"/>
    </row>
    <row r="16" customFormat="false" ht="15" hidden="false" customHeight="false" outlineLevel="0" collapsed="false">
      <c r="A16" s="5" t="s">
        <v>22</v>
      </c>
      <c r="B16" s="13" t="n">
        <v>2000</v>
      </c>
      <c r="C16" s="7" t="s">
        <v>23</v>
      </c>
    </row>
    <row r="17" customFormat="false" ht="15" hidden="false" customHeight="false" outlineLevel="0" collapsed="false">
      <c r="A17" s="5" t="s">
        <v>24</v>
      </c>
      <c r="B17" s="13" t="n">
        <v>600</v>
      </c>
      <c r="C17" s="7" t="s">
        <v>25</v>
      </c>
    </row>
    <row r="18" customFormat="false" ht="15" hidden="false" customHeight="false" outlineLevel="0" collapsed="false">
      <c r="A18" s="5" t="s">
        <v>26</v>
      </c>
      <c r="B18" s="13" t="n">
        <v>2000</v>
      </c>
      <c r="C18" s="7" t="s">
        <v>27</v>
      </c>
    </row>
    <row r="19" customFormat="false" ht="15" hidden="false" customHeight="false" outlineLevel="0" collapsed="false">
      <c r="A19" s="5" t="s">
        <v>28</v>
      </c>
      <c r="B19" s="13" t="n">
        <v>1600</v>
      </c>
      <c r="C19" s="7" t="s">
        <v>29</v>
      </c>
    </row>
    <row r="20" customFormat="false" ht="15" hidden="false" customHeight="false" outlineLevel="0" collapsed="false">
      <c r="A20" s="5" t="s">
        <v>30</v>
      </c>
      <c r="B20" s="13" t="n">
        <v>800</v>
      </c>
      <c r="C20" s="7" t="s">
        <v>31</v>
      </c>
    </row>
    <row r="21" customFormat="false" ht="15" hidden="false" customHeight="false" outlineLevel="0" collapsed="false">
      <c r="A21" s="5" t="s">
        <v>32</v>
      </c>
      <c r="B21" s="13" t="n">
        <v>600</v>
      </c>
      <c r="C21" s="7" t="s">
        <v>27</v>
      </c>
    </row>
    <row r="22" customFormat="false" ht="15" hidden="false" customHeight="false" outlineLevel="0" collapsed="false">
      <c r="A22" s="3" t="s">
        <v>33</v>
      </c>
      <c r="B22" s="4"/>
      <c r="C22" s="4"/>
    </row>
    <row r="23" customFormat="false" ht="15" hidden="false" customHeight="false" outlineLevel="0" collapsed="false">
      <c r="A23" s="5" t="s">
        <v>34</v>
      </c>
      <c r="B23" s="13" t="n">
        <v>1</v>
      </c>
      <c r="C23" s="7" t="s">
        <v>35</v>
      </c>
    </row>
    <row r="24" customFormat="false" ht="15" hidden="false" customHeight="false" outlineLevel="0" collapsed="false">
      <c r="A24" s="5" t="s">
        <v>36</v>
      </c>
      <c r="B24" s="13" t="n">
        <v>2</v>
      </c>
      <c r="C24" s="7" t="s">
        <v>35</v>
      </c>
    </row>
    <row r="25" customFormat="false" ht="15" hidden="false" customHeight="false" outlineLevel="0" collapsed="false">
      <c r="A25" s="5" t="s">
        <v>37</v>
      </c>
      <c r="B25" s="13" t="n">
        <v>2</v>
      </c>
      <c r="C25" s="7" t="s">
        <v>35</v>
      </c>
    </row>
    <row r="26" customFormat="false" ht="15" hidden="false" customHeight="false" outlineLevel="0" collapsed="false">
      <c r="A26" s="5" t="s">
        <v>38</v>
      </c>
      <c r="B26" s="13" t="n">
        <v>5</v>
      </c>
      <c r="C26" s="7" t="s">
        <v>35</v>
      </c>
    </row>
    <row r="27" customFormat="false" ht="15" hidden="false" customHeight="false" outlineLevel="0" collapsed="false">
      <c r="A27" s="3" t="s">
        <v>39</v>
      </c>
      <c r="B27" s="4"/>
      <c r="C27" s="4"/>
    </row>
    <row r="28" customFormat="false" ht="15" hidden="false" customHeight="false" outlineLevel="0" collapsed="false">
      <c r="A28" s="5" t="s">
        <v>40</v>
      </c>
      <c r="B28" s="13" t="n">
        <v>50</v>
      </c>
      <c r="C28" s="7" t="s">
        <v>41</v>
      </c>
    </row>
    <row r="29" customFormat="false" ht="15" hidden="false" customHeight="false" outlineLevel="0" collapsed="false">
      <c r="A29" s="5" t="s">
        <v>42</v>
      </c>
      <c r="B29" s="13" t="n">
        <v>30</v>
      </c>
      <c r="C29" s="7" t="s">
        <v>27</v>
      </c>
    </row>
    <row r="30" customFormat="false" ht="15" hidden="false" customHeight="false" outlineLevel="0" collapsed="false">
      <c r="A30" s="5" t="s">
        <v>43</v>
      </c>
      <c r="B30" s="13" t="n">
        <v>10</v>
      </c>
      <c r="C30" s="7" t="s">
        <v>27</v>
      </c>
    </row>
    <row r="31" customFormat="false" ht="15" hidden="false" customHeight="false" outlineLevel="0" collapsed="false">
      <c r="A31" s="5" t="s">
        <v>44</v>
      </c>
      <c r="B31" s="13" t="n">
        <v>10</v>
      </c>
      <c r="C31" s="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45</v>
      </c>
    </row>
    <row r="3" customFormat="false" ht="31.5" hidden="false" customHeight="true" outlineLevel="0" collapsed="false">
      <c r="A3" s="14" t="s">
        <v>46</v>
      </c>
      <c r="B3" s="14" t="s">
        <v>47</v>
      </c>
      <c r="C3" s="14" t="s">
        <v>48</v>
      </c>
      <c r="D3" s="14" t="s">
        <v>49</v>
      </c>
      <c r="E3" s="14" t="s">
        <v>50</v>
      </c>
      <c r="F3" s="14" t="s">
        <v>51</v>
      </c>
      <c r="G3" s="14" t="s">
        <v>52</v>
      </c>
      <c r="H3" s="14" t="s">
        <v>53</v>
      </c>
      <c r="I3" s="14" t="s">
        <v>54</v>
      </c>
      <c r="J3" s="14" t="s">
        <v>55</v>
      </c>
    </row>
    <row r="4" customFormat="false" ht="15" hidden="false" customHeight="false" outlineLevel="0" collapsed="false">
      <c r="A4" s="5" t="s">
        <v>34</v>
      </c>
      <c r="B4" s="5" t="s">
        <v>56</v>
      </c>
      <c r="C4" s="15" t="n">
        <f aca="false">Supuestos!$B$16</f>
        <v>2000</v>
      </c>
      <c r="D4" s="15" t="n">
        <f aca="false">Supuestos!$B$17</f>
        <v>600</v>
      </c>
      <c r="E4" s="16" t="n">
        <f aca="false">C4*Supuestos!$B$11/1000000+D4*Supuestos!$B$12/1000000</f>
        <v>0.0021</v>
      </c>
      <c r="F4" s="16" t="n">
        <v>0</v>
      </c>
      <c r="G4" s="16" t="n">
        <f aca="false">E4+F4</f>
        <v>0.0021</v>
      </c>
      <c r="H4" s="17" t="n">
        <f aca="false">G4*Supuestos!$B$5</f>
        <v>0.0399</v>
      </c>
      <c r="I4" s="15" t="n">
        <f aca="false">Supuestos!$B$23</f>
        <v>1</v>
      </c>
      <c r="J4" s="17" t="n">
        <f aca="false">IF(I4=0,0,H4/I4)</f>
        <v>0.0399</v>
      </c>
    </row>
    <row r="5" customFormat="false" ht="15" hidden="false" customHeight="false" outlineLevel="0" collapsed="false">
      <c r="A5" s="5" t="s">
        <v>36</v>
      </c>
      <c r="B5" s="5" t="s">
        <v>57</v>
      </c>
      <c r="C5" s="15" t="n">
        <f aca="false">Supuestos!$B$18</f>
        <v>2000</v>
      </c>
      <c r="D5" s="15" t="n">
        <f aca="false">Supuestos!$B$19</f>
        <v>1600</v>
      </c>
      <c r="E5" s="16" t="n">
        <f aca="false">C5*Supuestos!$B$9/1000000+D5*Supuestos!$B$10/1000000</f>
        <v>0.015</v>
      </c>
      <c r="F5" s="16" t="n">
        <v>0</v>
      </c>
      <c r="G5" s="16" t="n">
        <f aca="false">E5+F5</f>
        <v>0.015</v>
      </c>
      <c r="H5" s="17" t="n">
        <f aca="false">G5*Supuestos!$B$5</f>
        <v>0.285</v>
      </c>
      <c r="I5" s="15" t="n">
        <f aca="false">Supuestos!$B$24</f>
        <v>2</v>
      </c>
      <c r="J5" s="17" t="n">
        <f aca="false">IF(I5=0,0,H5/I5)</f>
        <v>0.1425</v>
      </c>
    </row>
    <row r="6" customFormat="false" ht="15" hidden="false" customHeight="false" outlineLevel="0" collapsed="false">
      <c r="A6" s="5" t="s">
        <v>37</v>
      </c>
      <c r="B6" s="5" t="s">
        <v>57</v>
      </c>
      <c r="C6" s="15" t="n">
        <f aca="false">Supuestos!$B$18</f>
        <v>2000</v>
      </c>
      <c r="D6" s="15" t="n">
        <f aca="false">Supuestos!$B$19</f>
        <v>1600</v>
      </c>
      <c r="E6" s="16" t="n">
        <f aca="false">C6*Supuestos!$B$9/1000000+D6*Supuestos!$B$10/1000000</f>
        <v>0.015</v>
      </c>
      <c r="F6" s="16" t="n">
        <v>0</v>
      </c>
      <c r="G6" s="16" t="n">
        <f aca="false">E6+F6</f>
        <v>0.015</v>
      </c>
      <c r="H6" s="17" t="n">
        <f aca="false">G6*Supuestos!$B$5</f>
        <v>0.285</v>
      </c>
      <c r="I6" s="15" t="n">
        <f aca="false">Supuestos!$B$25</f>
        <v>2</v>
      </c>
      <c r="J6" s="17" t="n">
        <f aca="false">IF(I6=0,0,H6/I6)</f>
        <v>0.1425</v>
      </c>
    </row>
    <row r="7" customFormat="false" ht="15" hidden="false" customHeight="false" outlineLevel="0" collapsed="false">
      <c r="A7" s="5" t="s">
        <v>38</v>
      </c>
      <c r="B7" s="5" t="s">
        <v>58</v>
      </c>
      <c r="C7" s="15" t="n">
        <f aca="false">Supuestos!$B$20</f>
        <v>800</v>
      </c>
      <c r="D7" s="15" t="n">
        <f aca="false">Supuestos!$B$21</f>
        <v>600</v>
      </c>
      <c r="E7" s="16" t="n">
        <f aca="false">C7*Supuestos!$B$9/1000000+D7*Supuestos!$B$10/1000000</f>
        <v>0.0057</v>
      </c>
      <c r="F7" s="16" t="n">
        <f aca="false">Supuestos!$B$13*Supuestos!$B$14</f>
        <v>0.028</v>
      </c>
      <c r="G7" s="16" t="n">
        <f aca="false">E7+F7</f>
        <v>0.0337</v>
      </c>
      <c r="H7" s="17" t="n">
        <f aca="false">G7*Supuestos!$B$5</f>
        <v>0.6403</v>
      </c>
      <c r="I7" s="15" t="n">
        <f aca="false">Supuestos!$B$26</f>
        <v>5</v>
      </c>
      <c r="J7" s="17" t="n">
        <f aca="false">IF(I7=0,0,H7/I7)</f>
        <v>0.12806</v>
      </c>
    </row>
    <row r="10" customFormat="false" ht="15" hidden="false" customHeight="false" outlineLevel="0" collapsed="false">
      <c r="A10" s="18" t="s">
        <v>59</v>
      </c>
      <c r="J10" s="19" t="n">
        <f aca="false">IF((Supuestos!$B$28*I4+Supuestos!$B$29*I5+Supuestos!$B$30*I6+Supuestos!$B$31*I7)=0,0,(Supuestos!$B$28*H4+Supuestos!$B$29*H5+Supuestos!$B$30*H6+Supuestos!$B$31*H7)/(Supuestos!$B$28*I4+Supuestos!$B$29*I5+Supuestos!$B$30*I6+Supuestos!$B$31*I7))</f>
        <v>0.109988888888889</v>
      </c>
    </row>
    <row r="11" customFormat="false" ht="15" hidden="false" customHeight="false" outlineLevel="0" collapsed="false">
      <c r="A11" s="2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31.5" hidden="false" customHeight="true" outlineLevel="0" collapsed="false">
      <c r="A4" s="14" t="s">
        <v>63</v>
      </c>
      <c r="B4" s="14" t="s">
        <v>64</v>
      </c>
      <c r="C4" s="14" t="s">
        <v>65</v>
      </c>
      <c r="D4" s="14" t="s">
        <v>66</v>
      </c>
      <c r="E4" s="14" t="s">
        <v>7</v>
      </c>
      <c r="F4" s="14" t="s">
        <v>67</v>
      </c>
      <c r="G4" s="14" t="s">
        <v>68</v>
      </c>
      <c r="H4" s="14" t="s">
        <v>69</v>
      </c>
      <c r="I4" s="14" t="s">
        <v>70</v>
      </c>
      <c r="J4" s="14" t="s">
        <v>71</v>
      </c>
      <c r="K4" s="14" t="s">
        <v>72</v>
      </c>
    </row>
    <row r="5" customFormat="false" ht="15" hidden="false" customHeight="false" outlineLevel="0" collapsed="false">
      <c r="A5" s="21" t="s">
        <v>73</v>
      </c>
      <c r="B5" s="22" t="n">
        <v>100</v>
      </c>
      <c r="C5" s="23" t="n">
        <v>69</v>
      </c>
      <c r="D5" s="17" t="n">
        <f aca="false">IF(B5=0,0,C5/B5)</f>
        <v>0.69</v>
      </c>
      <c r="E5" s="17" t="n">
        <f aca="false">C5-C5/(1+Supuestos!$B$7)</f>
        <v>9.51724137931034</v>
      </c>
      <c r="F5" s="17" t="n">
        <f aca="false">(C5-E5)*Supuestos!$B$6</f>
        <v>8.92241379310345</v>
      </c>
      <c r="G5" s="17" t="n">
        <f aca="false">C5-E5-F5</f>
        <v>50.5603448275862</v>
      </c>
      <c r="H5" s="24" t="n">
        <f aca="false">B5*'Costo por acción'!$J$10</f>
        <v>10.9988888888889</v>
      </c>
      <c r="I5" s="25" t="n">
        <f aca="false">G5-H5</f>
        <v>39.5614559386973</v>
      </c>
      <c r="J5" s="26" t="n">
        <f aca="false">IF(C5=0,0,I5/C5)</f>
        <v>0.573354433894164</v>
      </c>
      <c r="K5" s="27" t="n">
        <f aca="false">IF(H5=0,0,G5/H5)</f>
        <v>4.59685931354961</v>
      </c>
    </row>
    <row r="6" customFormat="false" ht="15" hidden="false" customHeight="false" outlineLevel="0" collapsed="false">
      <c r="A6" s="21" t="s">
        <v>74</v>
      </c>
      <c r="B6" s="22" t="n">
        <v>300</v>
      </c>
      <c r="C6" s="23" t="n">
        <v>179</v>
      </c>
      <c r="D6" s="17" t="n">
        <f aca="false">IF(B6=0,0,C6/B6)</f>
        <v>0.596666666666667</v>
      </c>
      <c r="E6" s="17" t="n">
        <f aca="false">C6-C6/(1+Supuestos!$B$7)</f>
        <v>24.6896551724138</v>
      </c>
      <c r="F6" s="17" t="n">
        <f aca="false">(C6-E6)*Supuestos!$B$6</f>
        <v>23.1465517241379</v>
      </c>
      <c r="G6" s="17" t="n">
        <f aca="false">C6-E6-F6</f>
        <v>131.163793103448</v>
      </c>
      <c r="H6" s="24" t="n">
        <f aca="false">B6*'Costo por acción'!$J$10</f>
        <v>32.9966666666667</v>
      </c>
      <c r="I6" s="25" t="n">
        <f aca="false">G6-H6</f>
        <v>98.1671264367816</v>
      </c>
      <c r="J6" s="26" t="n">
        <f aca="false">IF(C6=0,0,I6/C6)</f>
        <v>0.548419700764143</v>
      </c>
      <c r="K6" s="27" t="n">
        <f aca="false">IF(H6=0,0,G6/H6)</f>
        <v>3.9750619184801</v>
      </c>
    </row>
    <row r="7" customFormat="false" ht="15" hidden="false" customHeight="false" outlineLevel="0" collapsed="false">
      <c r="A7" s="21" t="s">
        <v>75</v>
      </c>
      <c r="B7" s="22" t="n">
        <v>1000</v>
      </c>
      <c r="C7" s="23" t="n">
        <v>499</v>
      </c>
      <c r="D7" s="17" t="n">
        <f aca="false">IF(B7=0,0,C7/B7)</f>
        <v>0.499</v>
      </c>
      <c r="E7" s="17" t="n">
        <f aca="false">C7-C7/(1+Supuestos!$B$7)</f>
        <v>68.8275862068965</v>
      </c>
      <c r="F7" s="17" t="n">
        <f aca="false">(C7-E7)*Supuestos!$B$6</f>
        <v>64.5258620689655</v>
      </c>
      <c r="G7" s="17" t="n">
        <f aca="false">C7-E7-F7</f>
        <v>365.646551724138</v>
      </c>
      <c r="H7" s="24" t="n">
        <f aca="false">B7*'Costo por acción'!$J$10</f>
        <v>109.988888888889</v>
      </c>
      <c r="I7" s="25" t="n">
        <f aca="false">G7-H7</f>
        <v>255.657662835249</v>
      </c>
      <c r="J7" s="26" t="n">
        <f aca="false">IF(C7=0,0,I7/C7)</f>
        <v>0.512340005681862</v>
      </c>
      <c r="K7" s="27" t="n">
        <f aca="false">IF(H7=0,0,G7/H7)</f>
        <v>3.3243953586395</v>
      </c>
    </row>
    <row r="9" customFormat="false" ht="15" hidden="false" customHeight="false" outlineLevel="0" collapsed="false">
      <c r="A9" s="18" t="s">
        <v>76</v>
      </c>
    </row>
    <row r="10" customFormat="false" ht="15" hidden="false" customHeight="false" outlineLevel="0" collapsed="false">
      <c r="A10" s="7" t="s">
        <v>77</v>
      </c>
    </row>
    <row r="11" customFormat="false" ht="15" hidden="false" customHeight="false" outlineLevel="0" collapsed="false">
      <c r="A11" s="7" t="s">
        <v>78</v>
      </c>
    </row>
    <row r="12" customFormat="false" ht="15" hidden="false" customHeight="false" outlineLevel="0" collapsed="false">
      <c r="A12" s="7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5" t="s">
        <v>82</v>
      </c>
      <c r="B4" s="28" t="n">
        <v>500</v>
      </c>
    </row>
    <row r="5" customFormat="false" ht="15" hidden="false" customHeight="false" outlineLevel="0" collapsed="false">
      <c r="A5" s="5" t="s">
        <v>83</v>
      </c>
      <c r="B5" s="28" t="n">
        <v>20</v>
      </c>
    </row>
    <row r="6" customFormat="false" ht="15" hidden="false" customHeight="false" outlineLevel="0" collapsed="false">
      <c r="A6" s="5" t="s">
        <v>84</v>
      </c>
      <c r="B6" s="29" t="n">
        <v>0.6</v>
      </c>
    </row>
    <row r="8" customFormat="false" ht="31.5" hidden="false" customHeight="true" outlineLevel="0" collapsed="false">
      <c r="A8" s="14" t="s">
        <v>63</v>
      </c>
      <c r="B8" s="14" t="s">
        <v>85</v>
      </c>
      <c r="C8" s="14" t="s">
        <v>86</v>
      </c>
      <c r="D8" s="14" t="s">
        <v>87</v>
      </c>
      <c r="E8" s="14" t="s">
        <v>88</v>
      </c>
      <c r="F8" s="14" t="s">
        <v>70</v>
      </c>
    </row>
    <row r="9" customFormat="false" ht="15" hidden="false" customHeight="false" outlineLevel="0" collapsed="false">
      <c r="A9" s="30" t="str">
        <f aca="false">Paquetes!A5</f>
        <v>Básico</v>
      </c>
      <c r="B9" s="22" t="n">
        <v>40</v>
      </c>
      <c r="C9" s="17" t="n">
        <f aca="false">B9*Paquetes!C5</f>
        <v>2760</v>
      </c>
      <c r="D9" s="17" t="n">
        <f aca="false">B9*Paquetes!G5</f>
        <v>2022.41379310345</v>
      </c>
      <c r="E9" s="17" t="n">
        <f aca="false">B9*Paquetes!H5</f>
        <v>439.955555555556</v>
      </c>
      <c r="F9" s="17" t="n">
        <f aca="false">D9-E9</f>
        <v>1582.45823754789</v>
      </c>
    </row>
    <row r="10" customFormat="false" ht="15" hidden="false" customHeight="false" outlineLevel="0" collapsed="false">
      <c r="A10" s="30" t="str">
        <f aca="false">Paquetes!A6</f>
        <v>Coleccionista</v>
      </c>
      <c r="B10" s="22" t="n">
        <v>15</v>
      </c>
      <c r="C10" s="17" t="n">
        <f aca="false">B10*Paquetes!C6</f>
        <v>2685</v>
      </c>
      <c r="D10" s="17" t="n">
        <f aca="false">B10*Paquetes!G6</f>
        <v>1967.45689655172</v>
      </c>
      <c r="E10" s="17" t="n">
        <f aca="false">B10*Paquetes!H6</f>
        <v>494.95</v>
      </c>
      <c r="F10" s="17" t="n">
        <f aca="false">D10-E10</f>
        <v>1472.50689655172</v>
      </c>
    </row>
    <row r="11" customFormat="false" ht="15" hidden="false" customHeight="false" outlineLevel="0" collapsed="false">
      <c r="A11" s="30" t="str">
        <f aca="false">Paquetes!A7</f>
        <v>Mega</v>
      </c>
      <c r="B11" s="22" t="n">
        <v>5</v>
      </c>
      <c r="C11" s="17" t="n">
        <f aca="false">B11*Paquetes!C7</f>
        <v>2495</v>
      </c>
      <c r="D11" s="17" t="n">
        <f aca="false">B11*Paquetes!G7</f>
        <v>1828.23275862069</v>
      </c>
      <c r="E11" s="17" t="n">
        <f aca="false">B11*Paquetes!H7</f>
        <v>549.944444444444</v>
      </c>
      <c r="F11" s="17" t="n">
        <f aca="false">D11-E11</f>
        <v>1278.28831417625</v>
      </c>
    </row>
    <row r="12" customFormat="false" ht="15" hidden="false" customHeight="false" outlineLevel="0" collapsed="false">
      <c r="A12" s="5" t="s">
        <v>89</v>
      </c>
      <c r="E12" s="31" t="n">
        <f aca="false">B4*B5*B6*'Costo por acción'!$J$10</f>
        <v>659.933333333333</v>
      </c>
      <c r="F12" s="31" t="n">
        <f aca="false">-E12</f>
        <v>-659.933333333333</v>
      </c>
    </row>
    <row r="13" customFormat="false" ht="15" hidden="false" customHeight="false" outlineLevel="0" collapsed="false">
      <c r="A13" s="18" t="s">
        <v>90</v>
      </c>
      <c r="B13" s="32" t="n">
        <f aca="false">SUM(B9:B11)</f>
        <v>60</v>
      </c>
      <c r="C13" s="19" t="n">
        <f aca="false">SUM(C9:C11)</f>
        <v>7940</v>
      </c>
      <c r="D13" s="19" t="n">
        <f aca="false">SUM(D9:D11)</f>
        <v>5818.10344827586</v>
      </c>
      <c r="E13" s="19" t="n">
        <f aca="false">SUM(E9:E12)</f>
        <v>2144.78333333333</v>
      </c>
      <c r="F13" s="19" t="n">
        <f aca="false">SUM(F9:F12)</f>
        <v>3673.32011494253</v>
      </c>
    </row>
    <row r="15" customFormat="false" ht="15" hidden="false" customHeight="false" outlineLevel="0" collapsed="false">
      <c r="A15" s="18" t="s">
        <v>91</v>
      </c>
      <c r="F15" s="33" t="n">
        <f aca="false">IF(C13=0,0,F13/C13)</f>
        <v>0.462634775181679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2026-09-22T15:07:20Z</dcterms:created>
  <dc:creator>openpyxl</dc:creator>
  <dc:description/>
  <dc:language>en-US</dc:language>
  <cp:lastModifiedBy/>
  <dcterms:modified xsi:type="dcterms:W3CDTF">2026-09-22T15:07:20Z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